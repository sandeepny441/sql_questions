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 Full Year" sheetId="1" state="visible" r:id="rId3"/>
    <sheet name="Pre-Pilot vs Pilot (24 days)" sheetId="2" state="visible" r:id="rId4"/>
    <sheet name="Call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<sst xmlns="http://schemas.openxmlformats.org/spreadsheetml/2006/main" count="125" uniqueCount="86">
  <si>
    <t xml:space="preserve">2025 Full Year — Loan Pipeline Summary</t>
  </si>
  <si>
    <t xml:space="preserve">Source: Pilot Metrics Dashboard  |  Based on ImportDate</t>
  </si>
  <si>
    <t xml:space="preserve">Metric</t>
  </si>
  <si>
    <t xml:space="preserve">Value</t>
  </si>
  <si>
    <t xml:space="preserve">% of Imports</t>
  </si>
  <si>
    <t xml:space="preserve">% of Submissions</t>
  </si>
  <si>
    <t xml:space="preserve">Notes</t>
  </si>
  <si>
    <t xml:space="preserve">Imports</t>
  </si>
  <si>
    <t xml:space="preserve">—</t>
  </si>
  <si>
    <t xml:space="preserve">Full-year 2025 baseline</t>
  </si>
  <si>
    <t xml:space="preserve">Submissions</t>
  </si>
  <si>
    <t xml:space="preserve">48.2% submitted of imports</t>
  </si>
  <si>
    <t xml:space="preserve">Locks</t>
  </si>
  <si>
    <t xml:space="preserve">93.3% locked of submissions</t>
  </si>
  <si>
    <t xml:space="preserve">Pre-Pilot vs Pilot — 24-Day Matched Windows</t>
  </si>
  <si>
    <t xml:space="preserve">Before Pilot: Mar 27 – Apr 19, 2026 (24 days)   |   During Pilot: Apr 20 – May 13, 2026 (24 days)</t>
  </si>
  <si>
    <t xml:space="preserve">Group</t>
  </si>
  <si>
    <t xml:space="preserve">Before Pilot
(Mar 27–Apr 19)</t>
  </si>
  <si>
    <t xml:space="preserve">During Pilot
(Apr 20–May 13)</t>
  </si>
  <si>
    <t xml:space="preserve">Change (%)</t>
  </si>
  <si>
    <t xml:space="preserve">Change (abs)</t>
  </si>
  <si>
    <t xml:space="preserve">Key Takeaway</t>
  </si>
  <si>
    <t xml:space="preserve">  Imports</t>
  </si>
  <si>
    <t xml:space="preserve">Control</t>
  </si>
  <si>
    <t xml:space="preserve">Steady growth aligned with market trend</t>
  </si>
  <si>
    <t xml:space="preserve">Treatment</t>
  </si>
  <si>
    <t xml:space="preserve">LOs selectively importing loans expected to price well</t>
  </si>
  <si>
    <t xml:space="preserve">Unassigned</t>
  </si>
  <si>
    <t xml:space="preserve">Market baseline — reinforces Treatment decline is behavioral</t>
  </si>
  <si>
    <t xml:space="preserve">  Submissions</t>
  </si>
  <si>
    <t xml:space="preserve">Normal market momentum; no pilot effect</t>
  </si>
  <si>
    <t xml:space="preserve">102-sub gap vs. Control; steepest decline in funnel</t>
  </si>
  <si>
    <t xml:space="preserve">Broader market growing; Treatment drop more significant by contrast</t>
  </si>
  <si>
    <t xml:space="preserve">  Locks</t>
  </si>
  <si>
    <t xml:space="preserve">Strong growth matching market baseline</t>
  </si>
  <si>
    <t xml:space="preserve">Positive but ~half Control's rate; underperforms by ~10 pts</t>
  </si>
  <si>
    <t xml:space="preserve">Robust market growth makes Treatment +12% notable underperformance</t>
  </si>
  <si>
    <t xml:space="preserve">  Wires</t>
  </si>
  <si>
    <t xml:space="preserve">Wires</t>
  </si>
  <si>
    <t xml:space="preserve">Essentially flat — pre-pilot loans closing on schedule</t>
  </si>
  <si>
    <t xml:space="preserve">Fewer closings; reduced upstream activity flowing through</t>
  </si>
  <si>
    <t xml:space="preserve">Market-wide wire growth underscores Treatment divergence</t>
  </si>
  <si>
    <t xml:space="preserve">  EQ Visits</t>
  </si>
  <si>
    <t xml:space="preserve">EQ Visits</t>
  </si>
  <si>
    <t xml:space="preserve">Doing more manual rate exploration — not relying on dynamic pricing</t>
  </si>
  <si>
    <t xml:space="preserve">Visiting EQ less — relying on dynamic pricing system instead</t>
  </si>
  <si>
    <t xml:space="preserve">Small sample; most unassigned LOs not active EQ users</t>
  </si>
  <si>
    <t xml:space="preserve">  PRO Score</t>
  </si>
  <si>
    <t xml:space="preserve">PRO Score</t>
  </si>
  <si>
    <t xml:space="preserve">Broad decline may reflect overall market difficulty</t>
  </si>
  <si>
    <t xml:space="preserve">5-pt wider decline than Control; pricing adjustments reducing competitiveness</t>
  </si>
  <si>
    <t xml:space="preserve">Lower-scoring LOs improved — contrasts with pilot-group declines</t>
  </si>
  <si>
    <t xml:space="preserve">Call Data — Qualitative Signals</t>
  </si>
  <si>
    <t xml:space="preserve">Source: Pilot call monitoring  |  Dynamic Pricing A/B Test</t>
  </si>
  <si>
    <t xml:space="preserve">Category</t>
  </si>
  <si>
    <t xml:space="preserve">Stat</t>
  </si>
  <si>
    <t xml:space="preserve">Description</t>
  </si>
  <si>
    <t xml:space="preserve">  Overall Call Themes</t>
  </si>
  <si>
    <t xml:space="preserve">Active Lean Price-Out</t>
  </si>
  <si>
    <t xml:space="preserve">% of all calls</t>
  </si>
  <si>
    <t xml:space="preserve">Pricing is the dominant topic across all shops</t>
  </si>
  <si>
    <t xml:space="preserve">AE Offered Solution / Alternative</t>
  </si>
  <si>
    <t xml:space="preserve">% of price-out calls</t>
  </si>
  <si>
    <t xml:space="preserve">Team actively working around competitive pricing gaps</t>
  </si>
  <si>
    <t xml:space="preserve">Client Complaints / Frustration</t>
  </si>
  <si>
    <t xml:space="preserve">Roughly 1 in 7 calls is contentious</t>
  </si>
  <si>
    <t xml:space="preserve">Complaint Calls = Active Pricing Calls</t>
  </si>
  <si>
    <t xml:space="preserve">% of complaint calls</t>
  </si>
  <si>
    <t xml:space="preserve">Pricing friction is the overwhelmingly dominant complaint driver</t>
  </si>
  <si>
    <t xml:space="preserve">  Complaint Breakdown</t>
  </si>
  <si>
    <t xml:space="preserve">Pricing &amp; Rate Competitiveness</t>
  </si>
  <si>
    <t xml:space="preserve">% of complaints</t>
  </si>
  <si>
    <t xml:space="preserve">Rates called "terrible," 25–50+ bps worse than WF, Chase, PennyMac</t>
  </si>
  <si>
    <t xml:space="preserve">Fees &amp; Closing Costs</t>
  </si>
  <si>
    <t xml:space="preserve">Credit report ($132), underwriting ($1,250), lock extension fees often undisclosed upfront</t>
  </si>
  <si>
    <t xml:space="preserve">Buy Down Pricing &amp; Structure</t>
  </si>
  <si>
    <t xml:space="preserve">Confusion on costs; only 1% option available; DTI and refi availability concerns</t>
  </si>
  <si>
    <t xml:space="preserve">Pricing System Issues</t>
  </si>
  <si>
    <t xml:space="preserve">Glitches, inability to price certain loan amounts, double-counted comp in QM calculations</t>
  </si>
  <si>
    <t xml:space="preserve">  Key Topics Mentioned</t>
  </si>
  <si>
    <t xml:space="preserve">PRO Rankings</t>
  </si>
  <si>
    <t xml:space="preserve">% of all calls (149 calls)</t>
  </si>
  <si>
    <t xml:space="preserve">#3 most discussed UWM differentiator; directly linked to PRO Score pilot metric</t>
  </si>
  <si>
    <t xml:space="preserve">Temporary Rate Buydowns</t>
  </si>
  <si>
    <t xml:space="preserve">% of all calls (232 calls)</t>
  </si>
  <si>
    <t xml:space="preserve">#1 differentiator discussed; reflects strong LO demand for pricing flexibility tools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</si>
</sst>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+0.0%;\-0.0%;0.0%"/>
    <numFmt numFmtId="168" formatCode="\+#,##0.#;\-#,##0.#;0"/>
    <numFmt numFmtId="169" formatCode="0.0"/>
    <numFmt numFmtId="170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1"/>
      <color rgb="FFBE185D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b val="true"/>
      <sz val="11"/>
      <color rgb="FFD9770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FFFFF"/>
        <bgColor rgb="FFF8FAFF"/>
      </patternFill>
    </fill>
    <fill>
      <patternFill patternType="solid">
        <fgColor rgb="FFF8FAFF"/>
        <bgColor rgb="FFFFFFFF"/>
      </patternFill>
    </fill>
    <fill>
      <patternFill patternType="solid">
        <fgColor rgb="FFEEF2FF"/>
        <bgColor rgb="FFF8FAFF"/>
      </patternFill>
    </fill>
    <fill>
      <patternFill patternType="solid">
        <fgColor rgb="FFDBEAFE"/>
        <bgColor rgb="FFE5E7EB"/>
      </patternFill>
    </fill>
    <fill>
      <patternFill patternType="solid">
        <fgColor rgb="FFFCE7F3"/>
        <bgColor rgb="FFEEF2FF"/>
      </patternFill>
    </fill>
    <fill>
      <patternFill patternType="solid">
        <fgColor rgb="FFE5E7EB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BE185D"/>
      <rgbColor rgb="FFF8FAFF"/>
      <rgbColor rgb="FFDBEAFE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5E7EB"/>
      <rgbColor rgb="FFFCE7F3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66699"/>
      <rgbColor rgb="FF969696"/>
      <rgbColor rgb="FF003366"/>
      <rgbColor rgb="FF16A34A"/>
      <rgbColor rgb="FF003300"/>
      <rgbColor rgb="FF1A1A2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false" outlineLevel="0" collapsed="false">
      <c r="A4" s="4" t="s">
        <v>7</v>
      </c>
      <c r="B4" s="5" t="n">
        <v>14582</v>
      </c>
      <c r="C4" s="6" t="s">
        <v>8</v>
      </c>
      <c r="D4" s="6" t="s">
        <v>8</v>
      </c>
      <c r="E4" s="7" t="s">
        <v>9</v>
      </c>
    </row>
    <row r="5" customFormat="false" ht="15" hidden="false" customHeight="false" outlineLevel="0" collapsed="false">
      <c r="A5" s="8" t="s">
        <v>10</v>
      </c>
      <c r="B5" s="9" t="n">
        <v>7027</v>
      </c>
      <c r="C5" s="10" t="n">
        <f aca="false">B5/B4</f>
        <v>0.481895487587437</v>
      </c>
      <c r="D5" s="11" t="s">
        <v>8</v>
      </c>
      <c r="E5" s="12" t="s">
        <v>11</v>
      </c>
    </row>
    <row r="6" customFormat="false" ht="15" hidden="false" customHeight="false" outlineLevel="0" collapsed="false">
      <c r="A6" s="4" t="s">
        <v>12</v>
      </c>
      <c r="B6" s="5" t="n">
        <v>6559</v>
      </c>
      <c r="C6" s="6" t="s">
        <v>8</v>
      </c>
      <c r="D6" s="13" t="n">
        <f aca="false">B6/B5</f>
        <v>0.933399743845169</v>
      </c>
      <c r="E6" s="7" t="s">
        <v>13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22"/>
    <col collapsed="false" customWidth="true" hidden="false" outlineLevel="0" max="6" min="5" style="0" width="14"/>
    <col collapsed="false" customWidth="true" hidden="false" outlineLevel="0" max="7" min="7" style="0" width="52"/>
  </cols>
  <sheetData>
    <row r="1" customFormat="false" ht="30" hidden="false" customHeight="tru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15</v>
      </c>
      <c r="B2" s="2"/>
      <c r="C2" s="2"/>
      <c r="D2" s="2"/>
      <c r="E2" s="2"/>
      <c r="F2" s="2"/>
      <c r="G2" s="2"/>
    </row>
    <row r="3" customFormat="false" ht="36" hidden="false" customHeight="true" outlineLevel="0" collapsed="false">
      <c r="A3" s="3" t="s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</row>
    <row r="4" customFormat="false" ht="18" hidden="false" customHeight="true" outlineLevel="0" collapsed="false">
      <c r="A4" s="14" t="s">
        <v>22</v>
      </c>
      <c r="B4" s="14"/>
      <c r="C4" s="14"/>
      <c r="D4" s="14"/>
      <c r="E4" s="14"/>
      <c r="F4" s="14"/>
      <c r="G4" s="14"/>
    </row>
    <row r="5" customFormat="false" ht="18" hidden="false" customHeight="true" outlineLevel="0" collapsed="false">
      <c r="A5" s="4" t="s">
        <v>7</v>
      </c>
      <c r="B5" s="15" t="s">
        <v>23</v>
      </c>
      <c r="C5" s="5" t="n">
        <v>409</v>
      </c>
      <c r="D5" s="5" t="n">
        <v>423</v>
      </c>
      <c r="E5" s="16" t="n">
        <f aca="false">(D5-C5)/C5</f>
        <v>0.0342298288508557</v>
      </c>
      <c r="F5" s="17" t="n">
        <f aca="false">D5-C5</f>
        <v>14</v>
      </c>
      <c r="G5" s="7" t="s">
        <v>24</v>
      </c>
    </row>
    <row r="6" customFormat="false" ht="18" hidden="false" customHeight="true" outlineLevel="0" collapsed="false">
      <c r="A6" s="4" t="s">
        <v>7</v>
      </c>
      <c r="B6" s="18" t="s">
        <v>25</v>
      </c>
      <c r="C6" s="5" t="n">
        <v>179</v>
      </c>
      <c r="D6" s="5" t="n">
        <v>161</v>
      </c>
      <c r="E6" s="19" t="n">
        <f aca="false">(D6-C6)/C6</f>
        <v>-0.100558659217877</v>
      </c>
      <c r="F6" s="20" t="n">
        <f aca="false">D6-C6</f>
        <v>-18</v>
      </c>
      <c r="G6" s="7" t="s">
        <v>26</v>
      </c>
    </row>
    <row r="7" customFormat="false" ht="18" hidden="false" customHeight="true" outlineLevel="0" collapsed="false">
      <c r="A7" s="8" t="s">
        <v>7</v>
      </c>
      <c r="B7" s="21" t="s">
        <v>27</v>
      </c>
      <c r="C7" s="9" t="n">
        <v>288</v>
      </c>
      <c r="D7" s="9" t="n">
        <v>321</v>
      </c>
      <c r="E7" s="22" t="n">
        <f aca="false">(D7-C7)/C7</f>
        <v>0.114583333333333</v>
      </c>
      <c r="F7" s="23" t="n">
        <f aca="false">D7-C7</f>
        <v>33</v>
      </c>
      <c r="G7" s="12" t="s">
        <v>28</v>
      </c>
    </row>
    <row r="8" customFormat="false" ht="18" hidden="false" customHeight="true" outlineLevel="0" collapsed="false">
      <c r="A8" s="14" t="s">
        <v>29</v>
      </c>
      <c r="B8" s="14"/>
      <c r="C8" s="14"/>
      <c r="D8" s="14"/>
      <c r="E8" s="14"/>
      <c r="F8" s="14"/>
      <c r="G8" s="14"/>
    </row>
    <row r="9" customFormat="false" ht="18" hidden="false" customHeight="true" outlineLevel="0" collapsed="false">
      <c r="A9" s="4" t="s">
        <v>10</v>
      </c>
      <c r="B9" s="15" t="s">
        <v>23</v>
      </c>
      <c r="C9" s="5" t="n">
        <v>185</v>
      </c>
      <c r="D9" s="5" t="n">
        <v>199</v>
      </c>
      <c r="E9" s="16" t="n">
        <f aca="false">(D9-C9)/C9</f>
        <v>0.0756756756756757</v>
      </c>
      <c r="F9" s="17" t="n">
        <f aca="false">D9-C9</f>
        <v>14</v>
      </c>
      <c r="G9" s="7" t="s">
        <v>30</v>
      </c>
    </row>
    <row r="10" customFormat="false" ht="18" hidden="false" customHeight="true" outlineLevel="0" collapsed="false">
      <c r="A10" s="4" t="s">
        <v>10</v>
      </c>
      <c r="B10" s="18" t="s">
        <v>25</v>
      </c>
      <c r="C10" s="24" t="n">
        <v>96</v>
      </c>
      <c r="D10" s="24" t="n">
        <v>72</v>
      </c>
      <c r="E10" s="19" t="n">
        <f aca="false">(D10-C10)/C10</f>
        <v>-0.25</v>
      </c>
      <c r="F10" s="20" t="n">
        <f aca="false">D10-C10</f>
        <v>-24</v>
      </c>
      <c r="G10" s="7" t="s">
        <v>31</v>
      </c>
    </row>
    <row r="11" customFormat="false" ht="18" hidden="false" customHeight="true" outlineLevel="0" collapsed="false">
      <c r="A11" s="8" t="s">
        <v>10</v>
      </c>
      <c r="B11" s="21" t="s">
        <v>27</v>
      </c>
      <c r="C11" s="9" t="n">
        <v>124</v>
      </c>
      <c r="D11" s="9" t="n">
        <v>138</v>
      </c>
      <c r="E11" s="22" t="n">
        <f aca="false">(D11-C11)/C11</f>
        <v>0.112903225806452</v>
      </c>
      <c r="F11" s="23" t="n">
        <f aca="false">D11-C11</f>
        <v>14</v>
      </c>
      <c r="G11" s="12" t="s">
        <v>32</v>
      </c>
    </row>
    <row r="12" customFormat="false" ht="18" hidden="false" customHeight="true" outlineLevel="0" collapsed="false">
      <c r="A12" s="14" t="s">
        <v>33</v>
      </c>
      <c r="B12" s="14"/>
      <c r="C12" s="14"/>
      <c r="D12" s="14"/>
      <c r="E12" s="14"/>
      <c r="F12" s="14"/>
      <c r="G12" s="14"/>
    </row>
    <row r="13" customFormat="false" ht="18" hidden="false" customHeight="true" outlineLevel="0" collapsed="false">
      <c r="A13" s="4" t="s">
        <v>12</v>
      </c>
      <c r="B13" s="15" t="s">
        <v>23</v>
      </c>
      <c r="C13" s="5" t="n">
        <v>209</v>
      </c>
      <c r="D13" s="5" t="n">
        <v>256</v>
      </c>
      <c r="E13" s="16" t="n">
        <f aca="false">(D13-C13)/C13</f>
        <v>0.22488038277512</v>
      </c>
      <c r="F13" s="17" t="n">
        <f aca="false">D13-C13</f>
        <v>47</v>
      </c>
      <c r="G13" s="7" t="s">
        <v>34</v>
      </c>
    </row>
    <row r="14" customFormat="false" ht="18" hidden="false" customHeight="true" outlineLevel="0" collapsed="false">
      <c r="A14" s="4" t="s">
        <v>12</v>
      </c>
      <c r="B14" s="18" t="s">
        <v>25</v>
      </c>
      <c r="C14" s="24" t="n">
        <v>89</v>
      </c>
      <c r="D14" s="24" t="n">
        <v>100</v>
      </c>
      <c r="E14" s="16" t="n">
        <f aca="false">(D14-C14)/C14</f>
        <v>0.123595505617978</v>
      </c>
      <c r="F14" s="17" t="n">
        <f aca="false">D14-C14</f>
        <v>11</v>
      </c>
      <c r="G14" s="7" t="s">
        <v>35</v>
      </c>
    </row>
    <row r="15" customFormat="false" ht="18" hidden="false" customHeight="true" outlineLevel="0" collapsed="false">
      <c r="A15" s="8" t="s">
        <v>12</v>
      </c>
      <c r="B15" s="21" t="s">
        <v>27</v>
      </c>
      <c r="C15" s="9" t="n">
        <v>174</v>
      </c>
      <c r="D15" s="9" t="n">
        <v>211</v>
      </c>
      <c r="E15" s="22" t="n">
        <f aca="false">(D15-C15)/C15</f>
        <v>0.21264367816092</v>
      </c>
      <c r="F15" s="23" t="n">
        <f aca="false">D15-C15</f>
        <v>37</v>
      </c>
      <c r="G15" s="12" t="s">
        <v>36</v>
      </c>
    </row>
    <row r="16" customFormat="false" ht="18" hidden="false" customHeight="true" outlineLevel="0" collapsed="false">
      <c r="A16" s="14" t="s">
        <v>37</v>
      </c>
      <c r="B16" s="14"/>
      <c r="C16" s="14"/>
      <c r="D16" s="14"/>
      <c r="E16" s="14"/>
      <c r="F16" s="14"/>
      <c r="G16" s="14"/>
    </row>
    <row r="17" customFormat="false" ht="18" hidden="false" customHeight="true" outlineLevel="0" collapsed="false">
      <c r="A17" s="4" t="s">
        <v>38</v>
      </c>
      <c r="B17" s="15" t="s">
        <v>23</v>
      </c>
      <c r="C17" s="5" t="n">
        <v>171</v>
      </c>
      <c r="D17" s="5" t="n">
        <v>174</v>
      </c>
      <c r="E17" s="16" t="n">
        <f aca="false">(D17-C17)/C17</f>
        <v>0.0175438596491228</v>
      </c>
      <c r="F17" s="17" t="n">
        <f aca="false">D17-C17</f>
        <v>3</v>
      </c>
      <c r="G17" s="7" t="s">
        <v>39</v>
      </c>
    </row>
    <row r="18" customFormat="false" ht="18" hidden="false" customHeight="true" outlineLevel="0" collapsed="false">
      <c r="A18" s="4" t="s">
        <v>38</v>
      </c>
      <c r="B18" s="18" t="s">
        <v>25</v>
      </c>
      <c r="C18" s="24" t="n">
        <v>77</v>
      </c>
      <c r="D18" s="24" t="n">
        <v>69</v>
      </c>
      <c r="E18" s="19" t="n">
        <f aca="false">(D18-C18)/C18</f>
        <v>-0.103896103896104</v>
      </c>
      <c r="F18" s="20" t="n">
        <f aca="false">D18-C18</f>
        <v>-8</v>
      </c>
      <c r="G18" s="7" t="s">
        <v>40</v>
      </c>
    </row>
    <row r="19" customFormat="false" ht="18" hidden="false" customHeight="true" outlineLevel="0" collapsed="false">
      <c r="A19" s="8" t="s">
        <v>38</v>
      </c>
      <c r="B19" s="21" t="s">
        <v>27</v>
      </c>
      <c r="C19" s="9" t="n">
        <v>108</v>
      </c>
      <c r="D19" s="9" t="n">
        <v>120</v>
      </c>
      <c r="E19" s="22" t="n">
        <f aca="false">(D19-C19)/C19</f>
        <v>0.111111111111111</v>
      </c>
      <c r="F19" s="23" t="n">
        <f aca="false">D19-C19</f>
        <v>12</v>
      </c>
      <c r="G19" s="12" t="s">
        <v>41</v>
      </c>
    </row>
    <row r="20" customFormat="false" ht="18" hidden="false" customHeight="true" outlineLevel="0" collapsed="false">
      <c r="A20" s="14" t="s">
        <v>42</v>
      </c>
      <c r="B20" s="14"/>
      <c r="C20" s="14"/>
      <c r="D20" s="14"/>
      <c r="E20" s="14"/>
      <c r="F20" s="14"/>
      <c r="G20" s="14"/>
    </row>
    <row r="21" customFormat="false" ht="18" hidden="false" customHeight="true" outlineLevel="0" collapsed="false">
      <c r="A21" s="4" t="s">
        <v>43</v>
      </c>
      <c r="B21" s="15" t="s">
        <v>23</v>
      </c>
      <c r="C21" s="5" t="n">
        <v>149746</v>
      </c>
      <c r="D21" s="5" t="n">
        <v>197504</v>
      </c>
      <c r="E21" s="16" t="n">
        <f aca="false">(D21-C21)/C21</f>
        <v>0.3189267159056</v>
      </c>
      <c r="F21" s="17" t="n">
        <f aca="false">D21-C21</f>
        <v>47758</v>
      </c>
      <c r="G21" s="7" t="s">
        <v>44</v>
      </c>
    </row>
    <row r="22" customFormat="false" ht="18" hidden="false" customHeight="true" outlineLevel="0" collapsed="false">
      <c r="A22" s="4" t="s">
        <v>43</v>
      </c>
      <c r="B22" s="18" t="s">
        <v>25</v>
      </c>
      <c r="C22" s="5" t="n">
        <v>66958</v>
      </c>
      <c r="D22" s="5" t="n">
        <v>60357</v>
      </c>
      <c r="E22" s="19" t="n">
        <f aca="false">(D22-C22)/C22</f>
        <v>-0.0985841871023627</v>
      </c>
      <c r="F22" s="20" t="n">
        <f aca="false">D22-C22</f>
        <v>-6601</v>
      </c>
      <c r="G22" s="7" t="s">
        <v>45</v>
      </c>
    </row>
    <row r="23" customFormat="false" ht="18" hidden="false" customHeight="true" outlineLevel="0" collapsed="false">
      <c r="A23" s="8" t="s">
        <v>43</v>
      </c>
      <c r="B23" s="21" t="s">
        <v>27</v>
      </c>
      <c r="C23" s="9" t="n">
        <v>736</v>
      </c>
      <c r="D23" s="9" t="n">
        <v>861</v>
      </c>
      <c r="E23" s="22" t="n">
        <f aca="false">(D23-C23)/C23</f>
        <v>0.169836956521739</v>
      </c>
      <c r="F23" s="23" t="n">
        <f aca="false">D23-C23</f>
        <v>125</v>
      </c>
      <c r="G23" s="12" t="s">
        <v>46</v>
      </c>
    </row>
    <row r="24" customFormat="false" ht="18" hidden="false" customHeight="true" outlineLevel="0" collapsed="false">
      <c r="A24" s="14" t="s">
        <v>47</v>
      </c>
      <c r="B24" s="14"/>
      <c r="C24" s="14"/>
      <c r="D24" s="14"/>
      <c r="E24" s="14"/>
      <c r="F24" s="14"/>
      <c r="G24" s="14"/>
    </row>
    <row r="25" customFormat="false" ht="18" hidden="false" customHeight="true" outlineLevel="0" collapsed="false">
      <c r="A25" s="4" t="s">
        <v>48</v>
      </c>
      <c r="B25" s="15" t="s">
        <v>23</v>
      </c>
      <c r="C25" s="24" t="n">
        <v>53.3</v>
      </c>
      <c r="D25" s="24" t="n">
        <v>40.5</v>
      </c>
      <c r="E25" s="19" t="n">
        <f aca="false">(D25-C25)/C25</f>
        <v>-0.24015009380863</v>
      </c>
      <c r="F25" s="20" t="n">
        <f aca="false">D25-C25</f>
        <v>-12.8</v>
      </c>
      <c r="G25" s="7" t="s">
        <v>49</v>
      </c>
    </row>
    <row r="26" customFormat="false" ht="18" hidden="false" customHeight="true" outlineLevel="0" collapsed="false">
      <c r="A26" s="4" t="s">
        <v>48</v>
      </c>
      <c r="B26" s="18" t="s">
        <v>25</v>
      </c>
      <c r="C26" s="24" t="n">
        <v>51.4</v>
      </c>
      <c r="D26" s="24" t="n">
        <v>36.7</v>
      </c>
      <c r="E26" s="19" t="n">
        <f aca="false">(D26-C26)/C26</f>
        <v>-0.285992217898833</v>
      </c>
      <c r="F26" s="20" t="n">
        <f aca="false">D26-C26</f>
        <v>-14.7</v>
      </c>
      <c r="G26" s="7" t="s">
        <v>50</v>
      </c>
    </row>
    <row r="27" customFormat="false" ht="18" hidden="false" customHeight="true" outlineLevel="0" collapsed="false">
      <c r="A27" s="8" t="s">
        <v>48</v>
      </c>
      <c r="B27" s="21" t="s">
        <v>27</v>
      </c>
      <c r="C27" s="25" t="n">
        <v>20</v>
      </c>
      <c r="D27" s="25" t="n">
        <v>27.8</v>
      </c>
      <c r="E27" s="22" t="n">
        <f aca="false">(D27-C27)/C27</f>
        <v>0.39</v>
      </c>
      <c r="F27" s="23" t="n">
        <f aca="false">D27-C27</f>
        <v>7.8</v>
      </c>
      <c r="G27" s="12" t="s">
        <v>51</v>
      </c>
    </row>
  </sheetData>
  <mergeCells count="8">
    <mergeCell ref="A1:G1"/>
    <mergeCell ref="A2:G2"/>
    <mergeCell ref="A4:G4"/>
    <mergeCell ref="A8:G8"/>
    <mergeCell ref="A12:G12"/>
    <mergeCell ref="A16:G16"/>
    <mergeCell ref="A20:G20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30" hidden="false" customHeight="true" outlineLevel="0" collapsed="false">
      <c r="A1" s="1" t="s">
        <v>52</v>
      </c>
      <c r="B1" s="1"/>
      <c r="C1" s="1"/>
      <c r="D1" s="1"/>
    </row>
    <row r="2" customFormat="false" ht="18" hidden="false" customHeight="true" outlineLevel="0" collapsed="false">
      <c r="A2" s="2" t="s">
        <v>53</v>
      </c>
      <c r="B2" s="2"/>
      <c r="C2" s="2"/>
      <c r="D2" s="2"/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3</v>
      </c>
      <c r="D3" s="3" t="s">
        <v>56</v>
      </c>
    </row>
    <row r="4" customFormat="false" ht="18" hidden="false" customHeight="true" outlineLevel="0" collapsed="false">
      <c r="A4" s="14" t="s">
        <v>57</v>
      </c>
      <c r="B4" s="14"/>
      <c r="C4" s="14"/>
      <c r="D4" s="14"/>
    </row>
    <row r="5" customFormat="false" ht="19.5" hidden="false" customHeight="true" outlineLevel="0" collapsed="false">
      <c r="A5" s="8" t="s">
        <v>58</v>
      </c>
      <c r="B5" s="12" t="s">
        <v>59</v>
      </c>
      <c r="C5" s="26" t="n">
        <v>0.51</v>
      </c>
      <c r="D5" s="12" t="s">
        <v>60</v>
      </c>
    </row>
    <row r="6" customFormat="false" ht="19.5" hidden="false" customHeight="true" outlineLevel="0" collapsed="false">
      <c r="A6" s="4" t="s">
        <v>61</v>
      </c>
      <c r="B6" s="7" t="s">
        <v>62</v>
      </c>
      <c r="C6" s="27" t="n">
        <v>0.63</v>
      </c>
      <c r="D6" s="7" t="s">
        <v>63</v>
      </c>
    </row>
    <row r="7" customFormat="false" ht="19.5" hidden="false" customHeight="true" outlineLevel="0" collapsed="false">
      <c r="A7" s="8" t="s">
        <v>64</v>
      </c>
      <c r="B7" s="12" t="s">
        <v>59</v>
      </c>
      <c r="C7" s="28" t="n">
        <v>0.15</v>
      </c>
      <c r="D7" s="12" t="s">
        <v>65</v>
      </c>
    </row>
    <row r="8" customFormat="false" ht="19.5" hidden="false" customHeight="true" outlineLevel="0" collapsed="false">
      <c r="A8" s="4" t="s">
        <v>66</v>
      </c>
      <c r="B8" s="7" t="s">
        <v>67</v>
      </c>
      <c r="C8" s="27" t="n">
        <v>0.83</v>
      </c>
      <c r="D8" s="7" t="s">
        <v>68</v>
      </c>
    </row>
    <row r="9" customFormat="false" ht="18" hidden="false" customHeight="true" outlineLevel="0" collapsed="false">
      <c r="A9" s="14" t="s">
        <v>69</v>
      </c>
      <c r="B9" s="14"/>
      <c r="C9" s="14"/>
      <c r="D9" s="14"/>
    </row>
    <row r="10" customFormat="false" ht="19.5" hidden="false" customHeight="true" outlineLevel="0" collapsed="false">
      <c r="A10" s="4" t="s">
        <v>70</v>
      </c>
      <c r="B10" s="7" t="s">
        <v>71</v>
      </c>
      <c r="C10" s="27" t="n">
        <v>0.4</v>
      </c>
      <c r="D10" s="7" t="s">
        <v>72</v>
      </c>
    </row>
    <row r="11" customFormat="false" ht="19.5" hidden="false" customHeight="true" outlineLevel="0" collapsed="false">
      <c r="A11" s="8" t="s">
        <v>73</v>
      </c>
      <c r="B11" s="12" t="s">
        <v>71</v>
      </c>
      <c r="C11" s="28" t="n">
        <v>0.2</v>
      </c>
      <c r="D11" s="12" t="s">
        <v>74</v>
      </c>
    </row>
    <row r="12" customFormat="false" ht="19.5" hidden="false" customHeight="true" outlineLevel="0" collapsed="false">
      <c r="A12" s="4" t="s">
        <v>75</v>
      </c>
      <c r="B12" s="7" t="s">
        <v>71</v>
      </c>
      <c r="C12" s="29" t="n">
        <v>0.15</v>
      </c>
      <c r="D12" s="7" t="s">
        <v>76</v>
      </c>
    </row>
    <row r="13" customFormat="false" ht="19.5" hidden="false" customHeight="true" outlineLevel="0" collapsed="false">
      <c r="A13" s="8" t="s">
        <v>77</v>
      </c>
      <c r="B13" s="12" t="s">
        <v>71</v>
      </c>
      <c r="C13" s="28" t="n">
        <v>0.15</v>
      </c>
      <c r="D13" s="12" t="s">
        <v>78</v>
      </c>
    </row>
    <row r="14" customFormat="false" ht="18" hidden="false" customHeight="true" outlineLevel="0" collapsed="false">
      <c r="A14" s="14" t="s">
        <v>79</v>
      </c>
      <c r="B14" s="14"/>
      <c r="C14" s="14"/>
      <c r="D14" s="14"/>
    </row>
    <row r="15" customFormat="false" ht="19.5" hidden="false" customHeight="true" outlineLevel="0" collapsed="false">
      <c r="A15" s="8" t="s">
        <v>80</v>
      </c>
      <c r="B15" s="12" t="s">
        <v>81</v>
      </c>
      <c r="C15" s="28" t="n">
        <v>0.22</v>
      </c>
      <c r="D15" s="12" t="s">
        <v>82</v>
      </c>
    </row>
    <row r="16" customFormat="false" ht="19.5" hidden="false" customHeight="true" outlineLevel="0" collapsed="false">
      <c r="A16" s="4" t="s">
        <v>83</v>
      </c>
      <c r="B16" s="7" t="s">
        <v>84</v>
      </c>
      <c r="C16" s="27" t="n">
        <v>0.35</v>
      </c>
      <c r="D16" s="7" t="s">
        <v>85</v>
      </c>
    </row>
  </sheetData>
  <mergeCells count="5">
    <mergeCell ref="A1:D1"/>
    <mergeCell ref="A2:D2"/>
    <mergeCell ref="A4:D4"/>
    <mergeCell ref="A9:D9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2026-05-14T09:41:04Z</dcterms:created>
  <dc:creator>openpyxl</dc:creator>
  <dc:description/>
  <dc:language>en-US</dc:language>
  <cp:lastModifiedBy/>
  <dcterms:modified xsi:type="dcterms:W3CDTF">2026-05-14T09:41:04Z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